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onathan\Documents\"/>
    </mc:Choice>
  </mc:AlternateContent>
  <bookViews>
    <workbookView xWindow="2535" yWindow="0" windowWidth="28035" windowHeight="17865" tabRatio="500"/>
  </bookViews>
  <sheets>
    <sheet name="Data" sheetId="1" r:id="rId1"/>
    <sheet name="Swaps" sheetId="3" r:id="rId2"/>
    <sheet name="Analysis" sheetId="2" r:id="rId3"/>
  </sheets>
  <functionGroups builtInGroupCount="18"/>
  <definedNames>
    <definedName name="Albania">Data!$M$1:$N$1,Data!$I$4:$T$4,Data!$A$5:$N$5</definedName>
    <definedName name="Austria">Data!$M$29:$N$29,Data!$I$32:$T$32,Data!$A$33:$N$33</definedName>
    <definedName name="Belgium">Data!$Q$23:$R$23,Data!$E$24:$T$24,Data!$A$25:$J$25</definedName>
    <definedName name="Croatia">Data!$K$18:$L$18,Data!$K$22:$T$22,Data!$A$23:$P$23</definedName>
    <definedName name="CzechRepublic">Data!$G$18:$H$18,Data!$S$19:$T$19,Data!$A$20:$T$20,Data!$A$21:$D$21</definedName>
    <definedName name="England">Data!$A$7:$B$7,Data!$I$7:$T$7,Data!$A$8:$N$8</definedName>
    <definedName name="France">Data!$I$1:$J$1,Data!$Q$1:$T$1,Data!$A$2:$T$2,Data!$A$3:$B$3</definedName>
    <definedName name="Germany">Data!$M$12:$N$12,Data!$A$13:$T$13,Data!$A$14:$F$14</definedName>
    <definedName name="Hungary">Data!$O$29:$P$29,Data!$O$33:$T$33,Data!$A$34:$T$34</definedName>
    <definedName name="Iceland">Data!$K$29:$L$29,Data!$C$31:$T$31,Data!$A$32:$H$32</definedName>
    <definedName name="Intro">Data!$A$1:$H$1</definedName>
    <definedName name="Italy">Data!$S$23:$T$23,Data!$K$25:$T$25,Data!$A$26:$P$26</definedName>
    <definedName name="NIreland">Data!$S$12:$T$12,Data!$S$16:$T$16,Data!$A$17:$T$17,Data!$A$18:$D$18</definedName>
    <definedName name="Poland">Data!$Q$12:$R$12,Data!$M$15:$T$15,Data!$A$16:$R$16</definedName>
    <definedName name="Portugal">Data!$I$29:$J$29,Data!$Q$29:$T$29,Data!$A$30:$T$30,Data!$A$31:$B$31</definedName>
    <definedName name="RIreland">Data!$A$24:$B$24,Data!$Q$26:$T$26,Data!$A$27:$T$27,Data!$A$28:$B$28</definedName>
    <definedName name="Romania">Data!$K$1:$L$1,Data!$C$3:$T$3,Data!$A$4:$H$4</definedName>
    <definedName name="Russia">Data!$C$7:$D$7,Data!$O$8:$T$8,Data!$A$9:$T$9</definedName>
    <definedName name="Slovakia">Data!$G$7:$H$7,Data!$G$11:$T$11,Data!$A$12:$L$12</definedName>
    <definedName name="Spain">Data!$E$18:$F$18,Data!$M$18:$T$18,Data!$A$19:$R$19</definedName>
    <definedName name="Sweden">Data!$C$24:$D$24,Data!$C$28:$T$28,Data!$A$29:$H$29</definedName>
    <definedName name="Switzerland">Data!$O$1:$P$1,Data!$O$5:$T$5,Data!$A$6:$T$6</definedName>
    <definedName name="Turkey">Data!$I$18:$J$18,Data!$E$21:$T$21,Data!$A$22:$J$22</definedName>
    <definedName name="Ukraine">Data!$O$12:$P$12,Data!$G$14:$T$14,Data!$A$15:$L$15</definedName>
    <definedName name="Wales">Data!$E$7:$F$7,Data!$A$10:$T$10,Data!$A$11:$F$11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C2" i="2"/>
  <c r="B11" i="2"/>
  <c r="B26" i="2"/>
  <c r="B6" i="2"/>
  <c r="B7" i="2"/>
  <c r="B20" i="2"/>
  <c r="B3" i="2"/>
  <c r="B4" i="2"/>
  <c r="B5" i="2"/>
  <c r="B8" i="2"/>
  <c r="B9" i="2"/>
  <c r="B10" i="2"/>
  <c r="B12" i="2"/>
  <c r="B13" i="2"/>
  <c r="B14" i="2"/>
  <c r="B15" i="2"/>
  <c r="B16" i="2"/>
  <c r="B17" i="2"/>
  <c r="B18" i="2"/>
  <c r="B19" i="2"/>
  <c r="B21" i="2"/>
  <c r="B22" i="2"/>
  <c r="B23" i="2"/>
  <c r="B24" i="2"/>
  <c r="B25" i="2"/>
  <c r="B47" i="2"/>
  <c r="D47" i="2"/>
  <c r="C11" i="2"/>
  <c r="C26" i="2"/>
  <c r="C6" i="2"/>
  <c r="C7" i="2"/>
  <c r="C20" i="2"/>
  <c r="C3" i="2"/>
  <c r="C4" i="2"/>
  <c r="C5" i="2"/>
  <c r="C8" i="2"/>
  <c r="C9" i="2"/>
  <c r="C10" i="2"/>
  <c r="C12" i="2"/>
  <c r="C13" i="2"/>
  <c r="C14" i="2"/>
  <c r="C15" i="2"/>
  <c r="C16" i="2"/>
  <c r="C17" i="2"/>
  <c r="C18" i="2"/>
  <c r="C19" i="2"/>
  <c r="C21" i="2"/>
  <c r="C22" i="2"/>
  <c r="C23" i="2"/>
  <c r="C24" i="2"/>
  <c r="C25" i="2"/>
  <c r="C47" i="2"/>
  <c r="B43" i="2"/>
  <c r="D43" i="2"/>
  <c r="C43" i="2"/>
  <c r="B42" i="2"/>
  <c r="D42" i="2"/>
  <c r="C42" i="2"/>
  <c r="B41" i="2"/>
  <c r="D41" i="2"/>
  <c r="C41" i="2"/>
  <c r="B40" i="2"/>
  <c r="D40" i="2"/>
  <c r="C40" i="2"/>
  <c r="B39" i="2"/>
  <c r="D39" i="2"/>
  <c r="C39" i="2"/>
  <c r="B38" i="2"/>
  <c r="D38" i="2"/>
  <c r="C38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sharedStrings.xml><?xml version="1.0" encoding="utf-8"?>
<sst xmlns="http://schemas.openxmlformats.org/spreadsheetml/2006/main" count="36" uniqueCount="36">
  <si>
    <t>Section</t>
  </si>
  <si>
    <t>Got</t>
  </si>
  <si>
    <t>Need</t>
  </si>
  <si>
    <t>% Complete</t>
  </si>
  <si>
    <t>Intro</t>
  </si>
  <si>
    <t>Croatia</t>
  </si>
  <si>
    <t>Spain</t>
  </si>
  <si>
    <t>England</t>
  </si>
  <si>
    <t>Italy</t>
  </si>
  <si>
    <t>Switzerland</t>
  </si>
  <si>
    <t>France</t>
  </si>
  <si>
    <t>Germany</t>
  </si>
  <si>
    <t>Portugal</t>
  </si>
  <si>
    <t>Belgium</t>
  </si>
  <si>
    <t>Russia</t>
  </si>
  <si>
    <t>GroupA</t>
  </si>
  <si>
    <t>GroupB</t>
  </si>
  <si>
    <t>GroupC</t>
  </si>
  <si>
    <t>GroupD</t>
  </si>
  <si>
    <t>GroupE</t>
  </si>
  <si>
    <t>GroupF</t>
  </si>
  <si>
    <t>Total</t>
  </si>
  <si>
    <t>Romania</t>
  </si>
  <si>
    <t>Albania</t>
  </si>
  <si>
    <t>Wales</t>
  </si>
  <si>
    <t>Slovakia</t>
  </si>
  <si>
    <t>Ukraine</t>
  </si>
  <si>
    <t>Poland</t>
  </si>
  <si>
    <t>N Ireland</t>
  </si>
  <si>
    <t>Czech Republic</t>
  </si>
  <si>
    <t>Turkey</t>
  </si>
  <si>
    <t>Republic Ireland</t>
  </si>
  <si>
    <t>Sweden</t>
  </si>
  <si>
    <t>Iceland</t>
  </si>
  <si>
    <t>Austria</t>
  </si>
  <si>
    <t>Hungary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</si>
</sst>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0"/>
      <color rgb="FF323232"/>
      <name val="Arial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Section Breakdown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Analysis!$B$1</c:f>
              <c:strCache>
                <c:ptCount val="1"/>
                <c:pt idx="0">
                  <c:v>Got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Analysis!$A$2:$A$35</c:f>
              <c:strCache>
                <c:ptCount val="25"/>
                <c:pt idx="0">
                  <c:v>Intro</c:v>
                </c:pt>
                <c:pt idx="1">
                  <c:v>France</c:v>
                </c:pt>
                <c:pt idx="2">
                  <c:v>Romania</c:v>
                </c:pt>
                <c:pt idx="3">
                  <c:v>Albania</c:v>
                </c:pt>
                <c:pt idx="4">
                  <c:v>Switzerland</c:v>
                </c:pt>
                <c:pt idx="5">
                  <c:v>England</c:v>
                </c:pt>
                <c:pt idx="6">
                  <c:v>Russia</c:v>
                </c:pt>
                <c:pt idx="7">
                  <c:v>Wales</c:v>
                </c:pt>
                <c:pt idx="8">
                  <c:v>Slovakia</c:v>
                </c:pt>
                <c:pt idx="9">
                  <c:v>Germany</c:v>
                </c:pt>
                <c:pt idx="10">
                  <c:v>Ukraine</c:v>
                </c:pt>
                <c:pt idx="11">
                  <c:v>Poland</c:v>
                </c:pt>
                <c:pt idx="12">
                  <c:v>N Ireland</c:v>
                </c:pt>
                <c:pt idx="13">
                  <c:v>Spain</c:v>
                </c:pt>
                <c:pt idx="14">
                  <c:v>Czech Republic</c:v>
                </c:pt>
                <c:pt idx="15">
                  <c:v>Turkey</c:v>
                </c:pt>
                <c:pt idx="16">
                  <c:v>Croatia</c:v>
                </c:pt>
                <c:pt idx="17">
                  <c:v>Belgium</c:v>
                </c:pt>
                <c:pt idx="18">
                  <c:v>Italy</c:v>
                </c:pt>
                <c:pt idx="19">
                  <c:v>Republic Ireland</c:v>
                </c:pt>
                <c:pt idx="20">
                  <c:v>Sweden</c:v>
                </c:pt>
                <c:pt idx="21">
                  <c:v>Portugal</c:v>
                </c:pt>
                <c:pt idx="22">
                  <c:v>Iceland</c:v>
                </c:pt>
                <c:pt idx="23">
                  <c:v>Austria</c:v>
                </c:pt>
                <c:pt idx="24">
                  <c:v>Hungary</c:v>
                </c:pt>
              </c:strCache>
            </c:strRef>
          </c:cat>
          <c:val>
            <c:numRef>
              <c:f>Analysis!$B$2:$B$35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1"/>
          <c:order val="1"/>
          <c:tx>
            <c:strRef>
              <c:f>Analysis!$C$1</c:f>
              <c:strCache>
                <c:ptCount val="1"/>
                <c:pt idx="0">
                  <c:v>Need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Analysis!$A$2:$A$35</c:f>
              <c:strCache>
                <c:ptCount val="25"/>
                <c:pt idx="0">
                  <c:v>Intro</c:v>
                </c:pt>
                <c:pt idx="1">
                  <c:v>France</c:v>
                </c:pt>
                <c:pt idx="2">
                  <c:v>Romania</c:v>
                </c:pt>
                <c:pt idx="3">
                  <c:v>Albania</c:v>
                </c:pt>
                <c:pt idx="4">
                  <c:v>Switzerland</c:v>
                </c:pt>
                <c:pt idx="5">
                  <c:v>England</c:v>
                </c:pt>
                <c:pt idx="6">
                  <c:v>Russia</c:v>
                </c:pt>
                <c:pt idx="7">
                  <c:v>Wales</c:v>
                </c:pt>
                <c:pt idx="8">
                  <c:v>Slovakia</c:v>
                </c:pt>
                <c:pt idx="9">
                  <c:v>Germany</c:v>
                </c:pt>
                <c:pt idx="10">
                  <c:v>Ukraine</c:v>
                </c:pt>
                <c:pt idx="11">
                  <c:v>Poland</c:v>
                </c:pt>
                <c:pt idx="12">
                  <c:v>N Ireland</c:v>
                </c:pt>
                <c:pt idx="13">
                  <c:v>Spain</c:v>
                </c:pt>
                <c:pt idx="14">
                  <c:v>Czech Republic</c:v>
                </c:pt>
                <c:pt idx="15">
                  <c:v>Turkey</c:v>
                </c:pt>
                <c:pt idx="16">
                  <c:v>Croatia</c:v>
                </c:pt>
                <c:pt idx="17">
                  <c:v>Belgium</c:v>
                </c:pt>
                <c:pt idx="18">
                  <c:v>Italy</c:v>
                </c:pt>
                <c:pt idx="19">
                  <c:v>Republic Ireland</c:v>
                </c:pt>
                <c:pt idx="20">
                  <c:v>Sweden</c:v>
                </c:pt>
                <c:pt idx="21">
                  <c:v>Portugal</c:v>
                </c:pt>
                <c:pt idx="22">
                  <c:v>Iceland</c:v>
                </c:pt>
                <c:pt idx="23">
                  <c:v>Austria</c:v>
                </c:pt>
                <c:pt idx="24">
                  <c:v>Hungary</c:v>
                </c:pt>
              </c:strCache>
            </c:strRef>
          </c:cat>
          <c:val>
            <c:numRef>
              <c:f>Analysis!$C$2:$C$35</c:f>
              <c:numCache>
                <c:formatCode>General</c:formatCode>
                <c:ptCount val="34"/>
                <c:pt idx="0">
                  <c:v>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27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299424"/>
        <c:axId val="7729998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Analysis!$D$1</c15:sqref>
                        </c15:formulaRef>
                      </c:ext>
                    </c:extLst>
                    <c:strCache>
                      <c:ptCount val="1"/>
                      <c:pt idx="0">
                        <c:v>% Complete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Analysis!$A$2:$A$35</c15:sqref>
                        </c15:formulaRef>
                      </c:ext>
                    </c:extLst>
                    <c:strCache>
                      <c:ptCount val="25"/>
                      <c:pt idx="0">
                        <c:v>Intro</c:v>
                      </c:pt>
                      <c:pt idx="1">
                        <c:v>France</c:v>
                      </c:pt>
                      <c:pt idx="2">
                        <c:v>Romania</c:v>
                      </c:pt>
                      <c:pt idx="3">
                        <c:v>Albania</c:v>
                      </c:pt>
                      <c:pt idx="4">
                        <c:v>Switzerland</c:v>
                      </c:pt>
                      <c:pt idx="5">
                        <c:v>England</c:v>
                      </c:pt>
                      <c:pt idx="6">
                        <c:v>Russia</c:v>
                      </c:pt>
                      <c:pt idx="7">
                        <c:v>Wales</c:v>
                      </c:pt>
                      <c:pt idx="8">
                        <c:v>Slovakia</c:v>
                      </c:pt>
                      <c:pt idx="9">
                        <c:v>Germany</c:v>
                      </c:pt>
                      <c:pt idx="10">
                        <c:v>Ukraine</c:v>
                      </c:pt>
                      <c:pt idx="11">
                        <c:v>Poland</c:v>
                      </c:pt>
                      <c:pt idx="12">
                        <c:v>N Ireland</c:v>
                      </c:pt>
                      <c:pt idx="13">
                        <c:v>Spain</c:v>
                      </c:pt>
                      <c:pt idx="14">
                        <c:v>Czech Republic</c:v>
                      </c:pt>
                      <c:pt idx="15">
                        <c:v>Turkey</c:v>
                      </c:pt>
                      <c:pt idx="16">
                        <c:v>Croatia</c:v>
                      </c:pt>
                      <c:pt idx="17">
                        <c:v>Belgium</c:v>
                      </c:pt>
                      <c:pt idx="18">
                        <c:v>Italy</c:v>
                      </c:pt>
                      <c:pt idx="19">
                        <c:v>Republic Ireland</c:v>
                      </c:pt>
                      <c:pt idx="20">
                        <c:v>Sweden</c:v>
                      </c:pt>
                      <c:pt idx="21">
                        <c:v>Portugal</c:v>
                      </c:pt>
                      <c:pt idx="22">
                        <c:v>Iceland</c:v>
                      </c:pt>
                      <c:pt idx="23">
                        <c:v>Austria</c:v>
                      </c:pt>
                      <c:pt idx="24">
                        <c:v>Hungary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Analysis!$D$2:$D$35</c15:sqref>
                        </c15:formulaRef>
                      </c:ext>
                    </c:extLst>
                    <c:numCache>
                      <c:formatCode>0.00</c:formatCode>
                      <c:ptCount val="3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3.5714285714285712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772994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984"/>
        <c:crosses val="autoZero"/>
        <c:auto val="1"/>
        <c:lblAlgn val="ctr"/>
        <c:lblOffset val="100"/>
        <c:noMultiLvlLbl val="0"/>
      </c:catAx>
      <c:valAx>
        <c:axId val="7729998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Groups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2"/>
          <c:order val="2"/>
          <c:tx>
            <c:v>Percent Complete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Analysis!$A$38:$A$45</c:f>
              <c:strCache>
                <c:ptCount val="6"/>
                <c:pt idx="0">
                  <c:v>GroupA</c:v>
                </c:pt>
                <c:pt idx="1">
                  <c:v>GroupB</c:v>
                </c:pt>
                <c:pt idx="2">
                  <c:v>GroupC</c:v>
                </c:pt>
                <c:pt idx="3">
                  <c:v>GroupD</c:v>
                </c:pt>
                <c:pt idx="4">
                  <c:v>GroupE</c:v>
                </c:pt>
                <c:pt idx="5">
                  <c:v>GroupF</c:v>
                </c:pt>
              </c:strCache>
            </c:strRef>
          </c:cat>
          <c:val>
            <c:numRef>
              <c:f>Analysis!$D$38:$D$45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0.89285714285714279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0682016"/>
        <c:axId val="1406825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Analysis!$A$38:$A$45</c15:sqref>
                        </c15:formulaRef>
                      </c:ext>
                    </c:extLst>
                    <c:strCache>
                      <c:ptCount val="6"/>
                      <c:pt idx="0">
                        <c:v>GroupA</c:v>
                      </c:pt>
                      <c:pt idx="1">
                        <c:v>GroupB</c:v>
                      </c:pt>
                      <c:pt idx="2">
                        <c:v>GroupC</c:v>
                      </c:pt>
                      <c:pt idx="3">
                        <c:v>GroupD</c:v>
                      </c:pt>
                      <c:pt idx="4">
                        <c:v>GroupE</c:v>
                      </c:pt>
                      <c:pt idx="5">
                        <c:v>GroupF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Analysis!$B$38:$B$45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Analysis!$A$38:$A$45</c15:sqref>
                        </c15:formulaRef>
                      </c:ext>
                    </c:extLst>
                    <c:strCache>
                      <c:ptCount val="6"/>
                      <c:pt idx="0">
                        <c:v>GroupA</c:v>
                      </c:pt>
                      <c:pt idx="1">
                        <c:v>GroupB</c:v>
                      </c:pt>
                      <c:pt idx="2">
                        <c:v>GroupC</c:v>
                      </c:pt>
                      <c:pt idx="3">
                        <c:v>GroupD</c:v>
                      </c:pt>
                      <c:pt idx="4">
                        <c:v>GroupE</c:v>
                      </c:pt>
                      <c:pt idx="5">
                        <c:v>GroupF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Analysis!$C$38:$C$45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112</c:v>
                      </c:pt>
                      <c:pt idx="1">
                        <c:v>112</c:v>
                      </c:pt>
                      <c:pt idx="2">
                        <c:v>111</c:v>
                      </c:pt>
                      <c:pt idx="3">
                        <c:v>112</c:v>
                      </c:pt>
                      <c:pt idx="4">
                        <c:v>112</c:v>
                      </c:pt>
                      <c:pt idx="5">
                        <c:v>112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068201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682576"/>
        <c:crosses val="autoZero"/>
        <c:auto val="1"/>
        <c:lblAlgn val="ctr"/>
        <c:lblOffset val="100"/>
        <c:noMultiLvlLbl val="0"/>
      </c:catAx>
      <c:valAx>
        <c:axId val="140682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68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561974</xdr:colOff>
      <xdr:row>0</xdr:row>
      <xdr:rowOff>71436</xdr:rowOff>
    </xdr:from>
    <xdr:to>
      <xdr:col>17</xdr:col>
      <xdr:colOff>247649</xdr:colOff>
      <xdr:row>37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533399</xdr:colOff>
      <xdr:row>38</xdr:row>
      <xdr:rowOff>52387</xdr:rowOff>
    </xdr:from>
    <xdr:to>
      <xdr:col>14</xdr:col>
      <xdr:colOff>352424</xdr:colOff>
      <xdr:row>57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T39"/>
  <sheetViews>
    <sheetView tabSelected="1" zoomScale="88" zoomScaleNormal="88" zoomScalePageLayoutView="88" workbookViewId="0">
      <selection activeCell="B36" sqref="B36"/>
    </sheetView>
  </sheetViews>
  <sheetFormatPr defaultColWidth="11" defaultRowHeight="15.75" x14ac:dyDescent="0.25"/>
  <sheetData>
    <row r="1" spans="1:2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  <c r="K2">
        <v>31</v>
      </c>
      <c r="L2">
        <v>32</v>
      </c>
      <c r="M2">
        <v>33</v>
      </c>
      <c r="N2">
        <v>34</v>
      </c>
      <c r="O2">
        <v>35</v>
      </c>
      <c r="P2">
        <v>36</v>
      </c>
      <c r="Q2">
        <v>37</v>
      </c>
      <c r="R2">
        <v>38</v>
      </c>
      <c r="S2">
        <v>39</v>
      </c>
      <c r="T2">
        <v>40</v>
      </c>
    </row>
    <row r="3" spans="1:20" x14ac:dyDescent="0.25">
      <c r="A3">
        <v>41</v>
      </c>
      <c r="B3">
        <v>42</v>
      </c>
      <c r="C3">
        <v>43</v>
      </c>
      <c r="D3">
        <v>44</v>
      </c>
      <c r="E3">
        <v>45</v>
      </c>
      <c r="F3">
        <v>46</v>
      </c>
      <c r="G3">
        <v>47</v>
      </c>
      <c r="H3">
        <v>48</v>
      </c>
      <c r="I3">
        <v>49</v>
      </c>
      <c r="J3">
        <v>50</v>
      </c>
      <c r="K3">
        <v>51</v>
      </c>
      <c r="L3">
        <v>52</v>
      </c>
      <c r="M3">
        <v>53</v>
      </c>
      <c r="N3">
        <v>54</v>
      </c>
      <c r="O3">
        <v>55</v>
      </c>
      <c r="P3">
        <v>56</v>
      </c>
      <c r="Q3">
        <v>57</v>
      </c>
      <c r="R3">
        <v>58</v>
      </c>
      <c r="S3">
        <v>59</v>
      </c>
      <c r="T3">
        <v>60</v>
      </c>
    </row>
    <row r="4" spans="1:20" x14ac:dyDescent="0.25">
      <c r="A4">
        <v>61</v>
      </c>
      <c r="B4">
        <v>62</v>
      </c>
      <c r="C4">
        <v>63</v>
      </c>
      <c r="D4">
        <v>64</v>
      </c>
      <c r="E4">
        <v>65</v>
      </c>
      <c r="F4">
        <v>66</v>
      </c>
      <c r="G4">
        <v>67</v>
      </c>
      <c r="H4">
        <v>68</v>
      </c>
      <c r="I4">
        <v>69</v>
      </c>
      <c r="J4">
        <v>70</v>
      </c>
      <c r="K4">
        <v>71</v>
      </c>
      <c r="L4">
        <v>72</v>
      </c>
      <c r="M4">
        <v>73</v>
      </c>
      <c r="N4">
        <v>74</v>
      </c>
      <c r="O4">
        <v>75</v>
      </c>
      <c r="P4">
        <v>76</v>
      </c>
      <c r="Q4">
        <v>77</v>
      </c>
      <c r="R4">
        <v>78</v>
      </c>
      <c r="S4">
        <v>79</v>
      </c>
      <c r="T4">
        <v>80</v>
      </c>
    </row>
    <row r="5" spans="1:20" x14ac:dyDescent="0.25">
      <c r="A5">
        <v>81</v>
      </c>
      <c r="B5">
        <v>82</v>
      </c>
      <c r="C5">
        <v>83</v>
      </c>
      <c r="D5">
        <v>84</v>
      </c>
      <c r="E5">
        <v>85</v>
      </c>
      <c r="F5">
        <v>86</v>
      </c>
      <c r="G5">
        <v>87</v>
      </c>
      <c r="H5">
        <v>88</v>
      </c>
      <c r="I5">
        <v>89</v>
      </c>
      <c r="J5">
        <v>90</v>
      </c>
      <c r="K5">
        <v>91</v>
      </c>
      <c r="L5">
        <v>92</v>
      </c>
      <c r="M5">
        <v>93</v>
      </c>
      <c r="N5">
        <v>94</v>
      </c>
      <c r="O5">
        <v>95</v>
      </c>
      <c r="P5">
        <v>96</v>
      </c>
      <c r="Q5">
        <v>97</v>
      </c>
      <c r="R5">
        <v>98</v>
      </c>
      <c r="S5">
        <v>99</v>
      </c>
      <c r="T5">
        <v>100</v>
      </c>
    </row>
    <row r="6" spans="1:20" x14ac:dyDescent="0.25">
      <c r="A6">
        <v>101</v>
      </c>
      <c r="B6">
        <v>102</v>
      </c>
      <c r="C6">
        <v>103</v>
      </c>
      <c r="D6">
        <v>104</v>
      </c>
      <c r="E6">
        <v>105</v>
      </c>
      <c r="F6">
        <v>106</v>
      </c>
      <c r="G6">
        <v>107</v>
      </c>
      <c r="H6">
        <v>108</v>
      </c>
      <c r="I6">
        <v>109</v>
      </c>
      <c r="J6">
        <v>110</v>
      </c>
      <c r="K6">
        <v>111</v>
      </c>
      <c r="L6">
        <v>112</v>
      </c>
      <c r="M6">
        <v>113</v>
      </c>
      <c r="N6">
        <v>114</v>
      </c>
      <c r="O6">
        <v>115</v>
      </c>
      <c r="P6">
        <v>116</v>
      </c>
      <c r="Q6">
        <v>117</v>
      </c>
      <c r="R6">
        <v>118</v>
      </c>
      <c r="S6">
        <v>119</v>
      </c>
      <c r="T6">
        <v>120</v>
      </c>
    </row>
    <row r="7" spans="1:20" x14ac:dyDescent="0.25">
      <c r="A7">
        <v>121</v>
      </c>
      <c r="B7">
        <v>122</v>
      </c>
      <c r="C7">
        <v>123</v>
      </c>
      <c r="D7">
        <v>124</v>
      </c>
      <c r="E7">
        <v>125</v>
      </c>
      <c r="F7">
        <v>126</v>
      </c>
      <c r="G7">
        <v>127</v>
      </c>
      <c r="H7">
        <v>128</v>
      </c>
      <c r="I7">
        <v>129</v>
      </c>
      <c r="J7">
        <v>130</v>
      </c>
      <c r="K7">
        <v>131</v>
      </c>
      <c r="L7">
        <v>132</v>
      </c>
      <c r="M7">
        <v>133</v>
      </c>
      <c r="N7">
        <v>134</v>
      </c>
      <c r="O7">
        <v>135</v>
      </c>
      <c r="P7">
        <v>136</v>
      </c>
      <c r="Q7">
        <v>137</v>
      </c>
      <c r="R7">
        <v>138</v>
      </c>
      <c r="S7">
        <v>139</v>
      </c>
      <c r="T7">
        <v>140</v>
      </c>
    </row>
    <row r="8" spans="1:20" x14ac:dyDescent="0.25">
      <c r="A8">
        <v>141</v>
      </c>
      <c r="B8">
        <v>142</v>
      </c>
      <c r="C8">
        <v>143</v>
      </c>
      <c r="D8">
        <v>144</v>
      </c>
      <c r="E8">
        <v>145</v>
      </c>
      <c r="F8">
        <v>146</v>
      </c>
      <c r="G8">
        <v>147</v>
      </c>
      <c r="H8">
        <v>148</v>
      </c>
      <c r="I8">
        <v>149</v>
      </c>
      <c r="J8">
        <v>150</v>
      </c>
      <c r="K8">
        <v>151</v>
      </c>
      <c r="L8">
        <v>152</v>
      </c>
      <c r="M8">
        <v>153</v>
      </c>
      <c r="N8">
        <v>154</v>
      </c>
      <c r="O8">
        <v>155</v>
      </c>
      <c r="P8">
        <v>156</v>
      </c>
      <c r="Q8">
        <v>157</v>
      </c>
      <c r="R8">
        <v>158</v>
      </c>
      <c r="S8">
        <v>159</v>
      </c>
      <c r="T8">
        <v>160</v>
      </c>
    </row>
    <row r="9" spans="1:20" x14ac:dyDescent="0.25">
      <c r="A9">
        <v>161</v>
      </c>
      <c r="B9">
        <v>162</v>
      </c>
      <c r="C9">
        <v>163</v>
      </c>
      <c r="D9">
        <v>164</v>
      </c>
      <c r="E9">
        <v>165</v>
      </c>
      <c r="F9">
        <v>166</v>
      </c>
      <c r="G9">
        <v>167</v>
      </c>
      <c r="H9">
        <v>168</v>
      </c>
      <c r="I9">
        <v>169</v>
      </c>
      <c r="J9">
        <v>170</v>
      </c>
      <c r="K9">
        <v>171</v>
      </c>
      <c r="L9">
        <v>172</v>
      </c>
      <c r="M9">
        <v>173</v>
      </c>
      <c r="N9">
        <v>174</v>
      </c>
      <c r="O9">
        <v>175</v>
      </c>
      <c r="P9">
        <v>176</v>
      </c>
      <c r="Q9">
        <v>177</v>
      </c>
      <c r="R9">
        <v>178</v>
      </c>
      <c r="S9">
        <v>179</v>
      </c>
      <c r="T9">
        <v>180</v>
      </c>
    </row>
    <row r="10" spans="1:20" x14ac:dyDescent="0.25">
      <c r="A10">
        <v>181</v>
      </c>
      <c r="B10">
        <v>182</v>
      </c>
      <c r="C10">
        <v>183</v>
      </c>
      <c r="D10">
        <v>184</v>
      </c>
      <c r="E10">
        <v>185</v>
      </c>
      <c r="F10">
        <v>186</v>
      </c>
      <c r="G10">
        <v>187</v>
      </c>
      <c r="H10">
        <v>188</v>
      </c>
      <c r="I10">
        <v>189</v>
      </c>
      <c r="J10">
        <v>190</v>
      </c>
      <c r="K10">
        <v>191</v>
      </c>
      <c r="L10">
        <v>192</v>
      </c>
      <c r="M10">
        <v>193</v>
      </c>
      <c r="N10">
        <v>194</v>
      </c>
      <c r="O10">
        <v>195</v>
      </c>
      <c r="P10">
        <v>196</v>
      </c>
      <c r="Q10">
        <v>197</v>
      </c>
      <c r="R10">
        <v>198</v>
      </c>
      <c r="S10">
        <v>199</v>
      </c>
      <c r="T10">
        <v>200</v>
      </c>
    </row>
    <row r="11" spans="1:20" x14ac:dyDescent="0.25">
      <c r="A11">
        <v>201</v>
      </c>
      <c r="B11">
        <v>202</v>
      </c>
      <c r="C11">
        <v>203</v>
      </c>
      <c r="D11">
        <v>204</v>
      </c>
      <c r="E11">
        <v>205</v>
      </c>
      <c r="F11">
        <v>206</v>
      </c>
      <c r="G11">
        <v>207</v>
      </c>
      <c r="H11">
        <v>208</v>
      </c>
      <c r="I11">
        <v>209</v>
      </c>
      <c r="J11">
        <v>210</v>
      </c>
      <c r="K11">
        <v>211</v>
      </c>
      <c r="L11">
        <v>212</v>
      </c>
      <c r="M11">
        <v>213</v>
      </c>
      <c r="N11">
        <v>214</v>
      </c>
      <c r="O11">
        <v>215</v>
      </c>
      <c r="P11">
        <v>216</v>
      </c>
      <c r="Q11">
        <v>217</v>
      </c>
      <c r="R11">
        <v>218</v>
      </c>
      <c r="S11">
        <v>219</v>
      </c>
      <c r="T11">
        <v>220</v>
      </c>
    </row>
    <row r="12" spans="1:20" x14ac:dyDescent="0.25">
      <c r="A12">
        <v>221</v>
      </c>
      <c r="B12">
        <v>222</v>
      </c>
      <c r="C12">
        <v>223</v>
      </c>
      <c r="D12">
        <v>224</v>
      </c>
      <c r="E12">
        <v>225</v>
      </c>
      <c r="F12">
        <v>226</v>
      </c>
      <c r="G12">
        <v>227</v>
      </c>
      <c r="H12">
        <v>228</v>
      </c>
      <c r="I12">
        <v>229</v>
      </c>
      <c r="J12">
        <v>230</v>
      </c>
      <c r="K12">
        <v>231</v>
      </c>
      <c r="L12">
        <v>232</v>
      </c>
      <c r="M12">
        <v>233</v>
      </c>
      <c r="N12">
        <v>234</v>
      </c>
      <c r="O12">
        <v>235</v>
      </c>
      <c r="P12">
        <v>236</v>
      </c>
      <c r="Q12">
        <v>237</v>
      </c>
      <c r="R12">
        <v>238</v>
      </c>
      <c r="S12">
        <v>239</v>
      </c>
      <c r="T12">
        <v>240</v>
      </c>
    </row>
    <row r="13" spans="1:20" x14ac:dyDescent="0.25">
      <c r="A13">
        <v>241</v>
      </c>
      <c r="B13">
        <v>242</v>
      </c>
      <c r="C13">
        <v>243</v>
      </c>
      <c r="D13">
        <v>244</v>
      </c>
      <c r="E13">
        <v>245</v>
      </c>
      <c r="F13">
        <v>246</v>
      </c>
      <c r="G13">
        <v>247</v>
      </c>
      <c r="H13">
        <v>248</v>
      </c>
      <c r="I13">
        <v>249</v>
      </c>
      <c r="J13">
        <v>250</v>
      </c>
      <c r="K13">
        <v>251</v>
      </c>
      <c r="L13">
        <v>252</v>
      </c>
      <c r="M13">
        <v>253</v>
      </c>
      <c r="N13">
        <v>254</v>
      </c>
      <c r="O13">
        <v>255</v>
      </c>
      <c r="P13">
        <v>256</v>
      </c>
      <c r="Q13">
        <v>257</v>
      </c>
      <c r="R13">
        <v>258</v>
      </c>
      <c r="S13">
        <v>259</v>
      </c>
      <c r="T13">
        <v>260</v>
      </c>
    </row>
    <row r="14" spans="1:20" x14ac:dyDescent="0.25">
      <c r="A14">
        <v>261</v>
      </c>
      <c r="B14">
        <v>262</v>
      </c>
      <c r="C14">
        <v>263</v>
      </c>
      <c r="D14">
        <v>264</v>
      </c>
      <c r="E14">
        <v>265</v>
      </c>
      <c r="F14">
        <v>266</v>
      </c>
      <c r="G14">
        <v>267</v>
      </c>
      <c r="H14">
        <v>268</v>
      </c>
      <c r="I14">
        <v>269</v>
      </c>
      <c r="J14">
        <v>270</v>
      </c>
      <c r="K14">
        <v>271</v>
      </c>
      <c r="L14">
        <v>272</v>
      </c>
      <c r="M14">
        <v>273</v>
      </c>
      <c r="N14">
        <v>274</v>
      </c>
      <c r="O14">
        <v>275</v>
      </c>
      <c r="P14">
        <v>276</v>
      </c>
      <c r="Q14">
        <v>277</v>
      </c>
      <c r="R14">
        <v>278</v>
      </c>
      <c r="S14">
        <v>279</v>
      </c>
      <c r="T14">
        <v>280</v>
      </c>
    </row>
    <row r="15" spans="1:20" x14ac:dyDescent="0.25">
      <c r="A15">
        <v>281</v>
      </c>
      <c r="B15">
        <v>282</v>
      </c>
      <c r="C15">
        <v>283</v>
      </c>
      <c r="D15">
        <v>284</v>
      </c>
      <c r="E15">
        <v>285</v>
      </c>
      <c r="F15">
        <v>286</v>
      </c>
      <c r="G15">
        <v>287</v>
      </c>
      <c r="H15">
        <v>288</v>
      </c>
      <c r="I15">
        <v>289</v>
      </c>
      <c r="J15">
        <v>290</v>
      </c>
      <c r="K15">
        <v>291</v>
      </c>
      <c r="L15">
        <v>292</v>
      </c>
      <c r="M15">
        <v>293</v>
      </c>
      <c r="N15">
        <v>294</v>
      </c>
      <c r="O15">
        <v>295</v>
      </c>
      <c r="P15">
        <v>296</v>
      </c>
      <c r="Q15">
        <v>297</v>
      </c>
      <c r="R15">
        <v>298</v>
      </c>
      <c r="S15">
        <v>299</v>
      </c>
      <c r="T15">
        <v>300</v>
      </c>
    </row>
    <row r="16" spans="1:20" x14ac:dyDescent="0.25">
      <c r="A16">
        <v>301</v>
      </c>
      <c r="B16">
        <v>302</v>
      </c>
      <c r="C16">
        <v>303</v>
      </c>
      <c r="D16">
        <v>304</v>
      </c>
      <c r="E16">
        <v>305</v>
      </c>
      <c r="F16">
        <v>306</v>
      </c>
      <c r="G16">
        <v>307</v>
      </c>
      <c r="H16">
        <v>308</v>
      </c>
      <c r="I16">
        <v>309</v>
      </c>
      <c r="J16">
        <v>310</v>
      </c>
      <c r="K16">
        <v>311</v>
      </c>
      <c r="L16">
        <v>312</v>
      </c>
      <c r="M16">
        <v>313</v>
      </c>
      <c r="N16">
        <v>314</v>
      </c>
      <c r="O16">
        <v>315</v>
      </c>
      <c r="P16">
        <v>316</v>
      </c>
      <c r="Q16">
        <v>317</v>
      </c>
      <c r="R16">
        <v>318</v>
      </c>
      <c r="S16">
        <v>319</v>
      </c>
      <c r="T16">
        <v>320</v>
      </c>
    </row>
    <row r="17" spans="1:20" x14ac:dyDescent="0.25">
      <c r="A17">
        <v>321</v>
      </c>
      <c r="B17">
        <v>322</v>
      </c>
      <c r="C17">
        <v>323</v>
      </c>
      <c r="D17">
        <v>324</v>
      </c>
      <c r="E17">
        <v>325</v>
      </c>
      <c r="F17">
        <v>326</v>
      </c>
      <c r="G17">
        <v>327</v>
      </c>
      <c r="H17">
        <v>328</v>
      </c>
      <c r="I17">
        <v>329</v>
      </c>
      <c r="J17">
        <v>330</v>
      </c>
      <c r="K17">
        <v>331</v>
      </c>
      <c r="L17">
        <v>332</v>
      </c>
      <c r="M17">
        <v>333</v>
      </c>
      <c r="N17">
        <v>334</v>
      </c>
      <c r="O17">
        <v>335</v>
      </c>
      <c r="P17">
        <v>336</v>
      </c>
      <c r="Q17">
        <v>337</v>
      </c>
      <c r="R17">
        <v>338</v>
      </c>
      <c r="S17">
        <v>339</v>
      </c>
      <c r="T17">
        <v>340</v>
      </c>
    </row>
    <row r="18" spans="1:20" x14ac:dyDescent="0.25">
      <c r="A18">
        <v>341</v>
      </c>
      <c r="B18">
        <v>342</v>
      </c>
      <c r="C18">
        <v>343</v>
      </c>
      <c r="D18">
        <v>344</v>
      </c>
      <c r="E18">
        <v>345</v>
      </c>
      <c r="F18">
        <v>346</v>
      </c>
      <c r="G18">
        <v>347</v>
      </c>
      <c r="H18">
        <v>348</v>
      </c>
      <c r="I18">
        <v>349</v>
      </c>
      <c r="J18">
        <v>350</v>
      </c>
      <c r="K18">
        <v>351</v>
      </c>
      <c r="L18">
        <v>352</v>
      </c>
      <c r="M18">
        <v>353</v>
      </c>
      <c r="N18">
        <v>354</v>
      </c>
      <c r="O18">
        <v>355</v>
      </c>
      <c r="P18">
        <v>356</v>
      </c>
      <c r="Q18">
        <v>357</v>
      </c>
      <c r="R18">
        <v>358</v>
      </c>
      <c r="S18">
        <v>359</v>
      </c>
      <c r="T18">
        <v>360</v>
      </c>
    </row>
    <row r="19" spans="1:20" x14ac:dyDescent="0.25">
      <c r="A19">
        <v>361</v>
      </c>
      <c r="B19">
        <v>362</v>
      </c>
      <c r="C19">
        <v>363</v>
      </c>
      <c r="D19">
        <v>364</v>
      </c>
      <c r="E19">
        <v>365</v>
      </c>
      <c r="F19">
        <v>366</v>
      </c>
      <c r="G19">
        <v>367</v>
      </c>
      <c r="H19">
        <v>368</v>
      </c>
      <c r="I19">
        <v>369</v>
      </c>
      <c r="J19">
        <v>370</v>
      </c>
      <c r="K19">
        <v>371</v>
      </c>
      <c r="L19">
        <v>372</v>
      </c>
      <c r="M19">
        <v>373</v>
      </c>
      <c r="N19">
        <v>374</v>
      </c>
      <c r="O19">
        <v>375</v>
      </c>
      <c r="P19">
        <v>376</v>
      </c>
      <c r="Q19">
        <v>377</v>
      </c>
      <c r="R19">
        <v>378</v>
      </c>
      <c r="S19">
        <v>379</v>
      </c>
      <c r="T19">
        <v>380</v>
      </c>
    </row>
    <row r="20" spans="1:20" x14ac:dyDescent="0.25">
      <c r="A20">
        <v>381</v>
      </c>
      <c r="B20">
        <v>382</v>
      </c>
      <c r="C20">
        <v>383</v>
      </c>
      <c r="D20">
        <v>384</v>
      </c>
      <c r="E20">
        <v>385</v>
      </c>
      <c r="F20">
        <v>386</v>
      </c>
      <c r="G20">
        <v>387</v>
      </c>
      <c r="H20">
        <v>388</v>
      </c>
      <c r="I20">
        <v>389</v>
      </c>
      <c r="J20">
        <v>390</v>
      </c>
      <c r="K20">
        <v>391</v>
      </c>
      <c r="L20">
        <v>392</v>
      </c>
      <c r="M20">
        <v>393</v>
      </c>
      <c r="N20">
        <v>394</v>
      </c>
      <c r="O20">
        <v>395</v>
      </c>
      <c r="P20">
        <v>396</v>
      </c>
      <c r="Q20">
        <v>397</v>
      </c>
      <c r="R20">
        <v>398</v>
      </c>
      <c r="S20">
        <v>399</v>
      </c>
      <c r="T20">
        <v>400</v>
      </c>
    </row>
    <row r="21" spans="1:20" x14ac:dyDescent="0.25">
      <c r="A21">
        <v>401</v>
      </c>
      <c r="B21">
        <v>402</v>
      </c>
      <c r="C21">
        <v>403</v>
      </c>
      <c r="D21">
        <v>404</v>
      </c>
      <c r="E21">
        <v>405</v>
      </c>
      <c r="F21">
        <v>406</v>
      </c>
      <c r="G21">
        <v>407</v>
      </c>
      <c r="H21">
        <v>408</v>
      </c>
      <c r="I21">
        <v>409</v>
      </c>
      <c r="J21">
        <v>410</v>
      </c>
      <c r="K21">
        <v>411</v>
      </c>
      <c r="L21">
        <v>412</v>
      </c>
      <c r="M21">
        <v>413</v>
      </c>
      <c r="N21">
        <v>414</v>
      </c>
      <c r="O21">
        <v>415</v>
      </c>
      <c r="P21">
        <v>416</v>
      </c>
      <c r="Q21">
        <v>417</v>
      </c>
      <c r="R21">
        <v>418</v>
      </c>
      <c r="S21">
        <v>419</v>
      </c>
      <c r="T21">
        <v>420</v>
      </c>
    </row>
    <row r="22" spans="1:20" x14ac:dyDescent="0.25">
      <c r="A22">
        <v>421</v>
      </c>
      <c r="B22">
        <v>422</v>
      </c>
      <c r="C22">
        <v>423</v>
      </c>
      <c r="D22">
        <v>424</v>
      </c>
      <c r="E22">
        <v>425</v>
      </c>
      <c r="F22">
        <v>426</v>
      </c>
      <c r="G22">
        <v>427</v>
      </c>
      <c r="H22">
        <v>428</v>
      </c>
      <c r="I22">
        <v>429</v>
      </c>
      <c r="J22">
        <v>430</v>
      </c>
      <c r="K22">
        <v>431</v>
      </c>
      <c r="L22">
        <v>432</v>
      </c>
      <c r="M22">
        <v>433</v>
      </c>
      <c r="N22">
        <v>434</v>
      </c>
      <c r="O22">
        <v>435</v>
      </c>
      <c r="P22">
        <v>436</v>
      </c>
      <c r="Q22">
        <v>437</v>
      </c>
      <c r="R22">
        <v>438</v>
      </c>
      <c r="S22">
        <v>439</v>
      </c>
      <c r="T22">
        <v>440</v>
      </c>
    </row>
    <row r="23" spans="1:20" x14ac:dyDescent="0.25">
      <c r="A23">
        <v>441</v>
      </c>
      <c r="B23">
        <v>442</v>
      </c>
      <c r="C23">
        <v>443</v>
      </c>
      <c r="D23">
        <v>444</v>
      </c>
      <c r="E23">
        <v>445</v>
      </c>
      <c r="F23">
        <v>446</v>
      </c>
      <c r="G23">
        <v>447</v>
      </c>
      <c r="H23">
        <v>448</v>
      </c>
      <c r="I23">
        <v>449</v>
      </c>
      <c r="J23">
        <v>450</v>
      </c>
      <c r="K23">
        <v>451</v>
      </c>
      <c r="L23">
        <v>452</v>
      </c>
      <c r="M23">
        <v>453</v>
      </c>
      <c r="N23">
        <v>454</v>
      </c>
      <c r="O23">
        <v>455</v>
      </c>
      <c r="P23">
        <v>456</v>
      </c>
      <c r="Q23">
        <v>457</v>
      </c>
      <c r="R23">
        <v>458</v>
      </c>
      <c r="S23">
        <v>459</v>
      </c>
      <c r="T23">
        <v>460</v>
      </c>
    </row>
    <row r="24" spans="1:20" x14ac:dyDescent="0.25">
      <c r="A24">
        <v>461</v>
      </c>
      <c r="B24">
        <v>462</v>
      </c>
      <c r="C24">
        <v>463</v>
      </c>
      <c r="D24">
        <v>464</v>
      </c>
      <c r="E24">
        <v>465</v>
      </c>
      <c r="F24">
        <v>466</v>
      </c>
      <c r="G24">
        <v>467</v>
      </c>
      <c r="H24">
        <v>468</v>
      </c>
      <c r="I24">
        <v>469</v>
      </c>
      <c r="J24">
        <v>470</v>
      </c>
      <c r="K24">
        <v>471</v>
      </c>
      <c r="L24">
        <v>472</v>
      </c>
      <c r="M24">
        <v>473</v>
      </c>
      <c r="N24">
        <v>474</v>
      </c>
      <c r="O24">
        <v>475</v>
      </c>
      <c r="P24">
        <v>476</v>
      </c>
      <c r="Q24">
        <v>477</v>
      </c>
      <c r="R24">
        <v>478</v>
      </c>
      <c r="S24">
        <v>479</v>
      </c>
      <c r="T24">
        <v>480</v>
      </c>
    </row>
    <row r="25" spans="1:20" x14ac:dyDescent="0.25">
      <c r="A25">
        <v>481</v>
      </c>
      <c r="B25">
        <v>482</v>
      </c>
      <c r="C25">
        <v>483</v>
      </c>
      <c r="D25">
        <v>484</v>
      </c>
      <c r="E25">
        <v>485</v>
      </c>
      <c r="F25">
        <v>486</v>
      </c>
      <c r="G25">
        <v>487</v>
      </c>
      <c r="H25">
        <v>488</v>
      </c>
      <c r="I25">
        <v>489</v>
      </c>
      <c r="J25">
        <v>490</v>
      </c>
      <c r="K25">
        <v>491</v>
      </c>
      <c r="L25">
        <v>492</v>
      </c>
      <c r="M25">
        <v>493</v>
      </c>
      <c r="N25">
        <v>494</v>
      </c>
      <c r="O25">
        <v>495</v>
      </c>
      <c r="P25">
        <v>496</v>
      </c>
      <c r="Q25">
        <v>497</v>
      </c>
      <c r="R25">
        <v>498</v>
      </c>
      <c r="S25">
        <v>499</v>
      </c>
      <c r="T25">
        <v>500</v>
      </c>
    </row>
    <row r="26" spans="1:20" x14ac:dyDescent="0.25">
      <c r="A26">
        <v>501</v>
      </c>
      <c r="B26">
        <v>502</v>
      </c>
      <c r="C26">
        <v>503</v>
      </c>
      <c r="D26">
        <v>504</v>
      </c>
      <c r="E26">
        <v>505</v>
      </c>
      <c r="F26">
        <v>506</v>
      </c>
      <c r="G26">
        <v>507</v>
      </c>
      <c r="H26">
        <v>508</v>
      </c>
      <c r="I26">
        <v>509</v>
      </c>
      <c r="J26">
        <v>510</v>
      </c>
      <c r="K26">
        <v>511</v>
      </c>
      <c r="L26">
        <v>512</v>
      </c>
      <c r="M26">
        <v>513</v>
      </c>
      <c r="N26">
        <v>514</v>
      </c>
      <c r="O26">
        <v>515</v>
      </c>
      <c r="P26">
        <v>516</v>
      </c>
      <c r="Q26">
        <v>517</v>
      </c>
      <c r="R26">
        <v>518</v>
      </c>
      <c r="S26">
        <v>519</v>
      </c>
      <c r="T26">
        <v>520</v>
      </c>
    </row>
    <row r="27" spans="1:20" x14ac:dyDescent="0.25">
      <c r="A27">
        <v>521</v>
      </c>
      <c r="B27">
        <v>522</v>
      </c>
      <c r="C27">
        <v>523</v>
      </c>
      <c r="D27">
        <v>524</v>
      </c>
      <c r="E27">
        <v>525</v>
      </c>
      <c r="F27">
        <v>526</v>
      </c>
      <c r="G27">
        <v>527</v>
      </c>
      <c r="H27">
        <v>528</v>
      </c>
      <c r="I27">
        <v>529</v>
      </c>
      <c r="J27">
        <v>530</v>
      </c>
      <c r="K27">
        <v>531</v>
      </c>
      <c r="L27">
        <v>532</v>
      </c>
      <c r="M27">
        <v>533</v>
      </c>
      <c r="N27">
        <v>534</v>
      </c>
      <c r="O27">
        <v>535</v>
      </c>
      <c r="P27">
        <v>536</v>
      </c>
      <c r="Q27">
        <v>537</v>
      </c>
      <c r="R27">
        <v>538</v>
      </c>
      <c r="S27">
        <v>539</v>
      </c>
      <c r="T27">
        <v>540</v>
      </c>
    </row>
    <row r="28" spans="1:20" x14ac:dyDescent="0.25">
      <c r="A28">
        <v>541</v>
      </c>
      <c r="B28">
        <v>542</v>
      </c>
      <c r="C28">
        <v>543</v>
      </c>
      <c r="D28">
        <v>544</v>
      </c>
      <c r="E28">
        <v>545</v>
      </c>
      <c r="F28">
        <v>546</v>
      </c>
      <c r="G28">
        <v>547</v>
      </c>
      <c r="H28">
        <v>548</v>
      </c>
      <c r="I28">
        <v>549</v>
      </c>
      <c r="J28">
        <v>550</v>
      </c>
      <c r="K28">
        <v>551</v>
      </c>
      <c r="L28">
        <v>552</v>
      </c>
      <c r="M28">
        <v>553</v>
      </c>
      <c r="N28">
        <v>554</v>
      </c>
      <c r="O28">
        <v>555</v>
      </c>
      <c r="P28">
        <v>556</v>
      </c>
      <c r="Q28">
        <v>557</v>
      </c>
      <c r="R28">
        <v>558</v>
      </c>
      <c r="S28">
        <v>559</v>
      </c>
      <c r="T28">
        <v>560</v>
      </c>
    </row>
    <row r="29" spans="1:20" x14ac:dyDescent="0.25">
      <c r="A29">
        <v>561</v>
      </c>
      <c r="B29">
        <v>562</v>
      </c>
      <c r="C29">
        <v>563</v>
      </c>
      <c r="D29">
        <v>564</v>
      </c>
      <c r="E29">
        <v>565</v>
      </c>
      <c r="F29">
        <v>566</v>
      </c>
      <c r="G29">
        <v>567</v>
      </c>
      <c r="H29">
        <v>568</v>
      </c>
      <c r="I29">
        <v>569</v>
      </c>
      <c r="J29">
        <v>570</v>
      </c>
      <c r="K29">
        <v>571</v>
      </c>
      <c r="L29">
        <v>572</v>
      </c>
      <c r="M29">
        <v>573</v>
      </c>
      <c r="N29">
        <v>574</v>
      </c>
      <c r="O29">
        <v>575</v>
      </c>
      <c r="P29">
        <v>576</v>
      </c>
      <c r="Q29">
        <v>577</v>
      </c>
      <c r="R29">
        <v>578</v>
      </c>
      <c r="S29">
        <v>579</v>
      </c>
      <c r="T29">
        <v>580</v>
      </c>
    </row>
    <row r="30" spans="1:20" x14ac:dyDescent="0.25">
      <c r="A30">
        <v>581</v>
      </c>
      <c r="B30">
        <v>582</v>
      </c>
      <c r="C30">
        <v>583</v>
      </c>
      <c r="D30">
        <v>584</v>
      </c>
      <c r="E30">
        <v>585</v>
      </c>
      <c r="F30">
        <v>586</v>
      </c>
      <c r="G30">
        <v>587</v>
      </c>
      <c r="H30">
        <v>588</v>
      </c>
      <c r="I30">
        <v>589</v>
      </c>
      <c r="J30">
        <v>590</v>
      </c>
      <c r="K30">
        <v>591</v>
      </c>
      <c r="L30">
        <v>592</v>
      </c>
      <c r="M30">
        <v>593</v>
      </c>
      <c r="N30">
        <v>594</v>
      </c>
      <c r="O30">
        <v>595</v>
      </c>
      <c r="P30">
        <v>596</v>
      </c>
      <c r="Q30">
        <v>597</v>
      </c>
      <c r="R30">
        <v>598</v>
      </c>
      <c r="S30">
        <v>599</v>
      </c>
      <c r="T30">
        <v>600</v>
      </c>
    </row>
    <row r="31" spans="1:20" x14ac:dyDescent="0.25">
      <c r="A31">
        <v>601</v>
      </c>
      <c r="B31">
        <v>602</v>
      </c>
      <c r="C31">
        <v>603</v>
      </c>
      <c r="D31">
        <v>604</v>
      </c>
      <c r="E31">
        <v>605</v>
      </c>
      <c r="F31">
        <v>606</v>
      </c>
      <c r="G31">
        <v>607</v>
      </c>
      <c r="H31">
        <v>608</v>
      </c>
      <c r="I31">
        <v>609</v>
      </c>
      <c r="J31">
        <v>610</v>
      </c>
      <c r="K31">
        <v>611</v>
      </c>
      <c r="L31">
        <v>612</v>
      </c>
      <c r="M31">
        <v>613</v>
      </c>
      <c r="N31">
        <v>614</v>
      </c>
      <c r="O31">
        <v>615</v>
      </c>
      <c r="P31">
        <v>616</v>
      </c>
      <c r="Q31">
        <v>617</v>
      </c>
      <c r="R31">
        <v>618</v>
      </c>
      <c r="S31">
        <v>619</v>
      </c>
      <c r="T31">
        <v>620</v>
      </c>
    </row>
    <row r="32" spans="1:20" x14ac:dyDescent="0.25">
      <c r="A32">
        <v>621</v>
      </c>
      <c r="B32">
        <v>622</v>
      </c>
      <c r="C32">
        <v>623</v>
      </c>
      <c r="D32">
        <v>624</v>
      </c>
      <c r="E32">
        <v>625</v>
      </c>
      <c r="F32">
        <v>626</v>
      </c>
      <c r="G32">
        <v>627</v>
      </c>
      <c r="H32">
        <v>628</v>
      </c>
      <c r="I32">
        <v>629</v>
      </c>
      <c r="J32">
        <v>630</v>
      </c>
      <c r="K32">
        <v>631</v>
      </c>
      <c r="L32">
        <v>632</v>
      </c>
      <c r="M32">
        <v>633</v>
      </c>
      <c r="N32">
        <v>634</v>
      </c>
      <c r="O32">
        <v>635</v>
      </c>
      <c r="P32">
        <v>636</v>
      </c>
      <c r="Q32">
        <v>637</v>
      </c>
      <c r="R32">
        <v>638</v>
      </c>
      <c r="S32">
        <v>639</v>
      </c>
      <c r="T32">
        <v>640</v>
      </c>
    </row>
    <row r="33" spans="1:20" x14ac:dyDescent="0.25">
      <c r="A33">
        <v>641</v>
      </c>
      <c r="B33">
        <v>642</v>
      </c>
      <c r="C33">
        <v>643</v>
      </c>
      <c r="D33">
        <v>644</v>
      </c>
      <c r="E33">
        <v>645</v>
      </c>
      <c r="F33">
        <v>646</v>
      </c>
      <c r="G33">
        <v>647</v>
      </c>
      <c r="H33">
        <v>648</v>
      </c>
      <c r="I33">
        <v>649</v>
      </c>
      <c r="J33">
        <v>650</v>
      </c>
      <c r="K33">
        <v>651</v>
      </c>
      <c r="L33">
        <v>652</v>
      </c>
      <c r="M33">
        <v>653</v>
      </c>
      <c r="N33">
        <v>654</v>
      </c>
      <c r="O33">
        <v>655</v>
      </c>
      <c r="P33">
        <v>656</v>
      </c>
      <c r="Q33">
        <v>657</v>
      </c>
      <c r="R33">
        <v>658</v>
      </c>
      <c r="S33">
        <v>659</v>
      </c>
      <c r="T33">
        <v>660</v>
      </c>
    </row>
    <row r="34" spans="1:20" x14ac:dyDescent="0.25">
      <c r="A34">
        <v>661</v>
      </c>
      <c r="B34">
        <v>662</v>
      </c>
      <c r="C34">
        <v>663</v>
      </c>
      <c r="D34">
        <v>664</v>
      </c>
      <c r="E34">
        <v>665</v>
      </c>
      <c r="F34">
        <v>666</v>
      </c>
      <c r="G34">
        <v>667</v>
      </c>
      <c r="H34">
        <v>668</v>
      </c>
      <c r="I34">
        <v>669</v>
      </c>
      <c r="J34">
        <v>670</v>
      </c>
      <c r="K34">
        <v>671</v>
      </c>
      <c r="L34">
        <v>672</v>
      </c>
      <c r="M34">
        <v>673</v>
      </c>
      <c r="N34">
        <v>674</v>
      </c>
      <c r="O34">
        <v>675</v>
      </c>
      <c r="P34">
        <v>676</v>
      </c>
      <c r="Q34">
        <v>677</v>
      </c>
      <c r="R34">
        <v>678</v>
      </c>
      <c r="S34">
        <v>679</v>
      </c>
      <c r="T34">
        <v>680</v>
      </c>
    </row>
    <row r="38" spans="1:20" x14ac:dyDescent="0.25">
      <c r="A38" s="1"/>
    </row>
    <row r="39" spans="1:20" x14ac:dyDescent="0.25">
      <c r="J39" s="2"/>
    </row>
  </sheetData>
  <printOptions gridLines="1"/>
  <pageMargins left="0.74803149606299213" right="0.74803149606299213" top="0.98425196850393704" bottom="0.98425196850393704" header="0.51181102362204722" footer="0.51181102362204722"/>
  <pageSetup paperSize="9" scale="54" orientation="landscape" horizontalDpi="4294967293" verticalDpi="429496729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9"/>
  <sheetViews>
    <sheetView zoomScale="65" zoomScaleNormal="65" zoomScalePageLayoutView="65" workbookViewId="0">
      <selection activeCell="A3" sqref="A3"/>
    </sheetView>
  </sheetViews>
  <sheetFormatPr defaultColWidth="8.875" defaultRowHeight="15.75" x14ac:dyDescent="0.25"/>
  <sheetData>
    <row r="1" spans="1:1" x14ac:dyDescent="0.25">
      <c r="A1">
        <v>42</v>
      </c>
    </row>
    <row r="2" spans="1:1" x14ac:dyDescent="0.25">
      <c r="A2">
        <v>48</v>
      </c>
    </row>
    <row r="3" spans="1:1" x14ac:dyDescent="0.25">
      <c r="A3">
        <v>67</v>
      </c>
    </row>
    <row r="4" spans="1:1" x14ac:dyDescent="0.25">
      <c r="A4">
        <v>88</v>
      </c>
    </row>
    <row r="5" spans="1:1" x14ac:dyDescent="0.25">
      <c r="A5">
        <v>91</v>
      </c>
    </row>
    <row r="6" spans="1:1" x14ac:dyDescent="0.25">
      <c r="A6">
        <v>133</v>
      </c>
    </row>
    <row r="7" spans="1:1" x14ac:dyDescent="0.25">
      <c r="A7">
        <v>133</v>
      </c>
    </row>
    <row r="8" spans="1:1" x14ac:dyDescent="0.25">
      <c r="A8">
        <v>172</v>
      </c>
    </row>
    <row r="9" spans="1:1" x14ac:dyDescent="0.25">
      <c r="A9">
        <v>182</v>
      </c>
    </row>
    <row r="10" spans="1:1" x14ac:dyDescent="0.25">
      <c r="A10">
        <v>208</v>
      </c>
    </row>
    <row r="11" spans="1:1" x14ac:dyDescent="0.25">
      <c r="A11">
        <v>218</v>
      </c>
    </row>
    <row r="12" spans="1:1" x14ac:dyDescent="0.25">
      <c r="A12">
        <v>241</v>
      </c>
    </row>
    <row r="13" spans="1:1" x14ac:dyDescent="0.25">
      <c r="A13">
        <v>249</v>
      </c>
    </row>
    <row r="14" spans="1:1" x14ac:dyDescent="0.25">
      <c r="A14">
        <v>283</v>
      </c>
    </row>
    <row r="15" spans="1:1" x14ac:dyDescent="0.25">
      <c r="A15">
        <v>289</v>
      </c>
    </row>
    <row r="16" spans="1:1" x14ac:dyDescent="0.25">
      <c r="A16">
        <v>320</v>
      </c>
    </row>
    <row r="17" spans="1:1" x14ac:dyDescent="0.25">
      <c r="A17">
        <v>320</v>
      </c>
    </row>
    <row r="18" spans="1:1" x14ac:dyDescent="0.25">
      <c r="A18">
        <v>333</v>
      </c>
    </row>
    <row r="19" spans="1:1" x14ac:dyDescent="0.25">
      <c r="A19">
        <v>362</v>
      </c>
    </row>
    <row r="20" spans="1:1" x14ac:dyDescent="0.25">
      <c r="A20">
        <v>385</v>
      </c>
    </row>
    <row r="21" spans="1:1" x14ac:dyDescent="0.25">
      <c r="A21">
        <v>398</v>
      </c>
    </row>
    <row r="22" spans="1:1" x14ac:dyDescent="0.25">
      <c r="A22">
        <v>488</v>
      </c>
    </row>
    <row r="23" spans="1:1" x14ac:dyDescent="0.25">
      <c r="A23">
        <v>494</v>
      </c>
    </row>
    <row r="24" spans="1:1" x14ac:dyDescent="0.25">
      <c r="A24">
        <v>532</v>
      </c>
    </row>
    <row r="25" spans="1:1" x14ac:dyDescent="0.25">
      <c r="A25">
        <v>542</v>
      </c>
    </row>
    <row r="26" spans="1:1" x14ac:dyDescent="0.25">
      <c r="A26">
        <v>543</v>
      </c>
    </row>
    <row r="27" spans="1:1" x14ac:dyDescent="0.25">
      <c r="A27">
        <v>559</v>
      </c>
    </row>
    <row r="28" spans="1:1" x14ac:dyDescent="0.25">
      <c r="A28">
        <v>560</v>
      </c>
    </row>
    <row r="29" spans="1:1" x14ac:dyDescent="0.25">
      <c r="A29">
        <v>565</v>
      </c>
    </row>
    <row r="30" spans="1:1" x14ac:dyDescent="0.25">
      <c r="A30">
        <v>566</v>
      </c>
    </row>
    <row r="31" spans="1:1" x14ac:dyDescent="0.25">
      <c r="A31">
        <v>567</v>
      </c>
    </row>
    <row r="32" spans="1:1" x14ac:dyDescent="0.25">
      <c r="A32">
        <v>568</v>
      </c>
    </row>
    <row r="33" spans="1:1" x14ac:dyDescent="0.25">
      <c r="A33">
        <v>568</v>
      </c>
    </row>
    <row r="34" spans="1:1" x14ac:dyDescent="0.25">
      <c r="A34">
        <v>579</v>
      </c>
    </row>
    <row r="35" spans="1:1" x14ac:dyDescent="0.25">
      <c r="A35">
        <v>590</v>
      </c>
    </row>
    <row r="36" spans="1:1" x14ac:dyDescent="0.25">
      <c r="A36">
        <v>617</v>
      </c>
    </row>
    <row r="37" spans="1:1" x14ac:dyDescent="0.25">
      <c r="A37">
        <v>625</v>
      </c>
    </row>
    <row r="38" spans="1:1" x14ac:dyDescent="0.25">
      <c r="A38">
        <v>645</v>
      </c>
    </row>
    <row r="39" spans="1:1" x14ac:dyDescent="0.25">
      <c r="A39">
        <v>677</v>
      </c>
    </row>
  </sheetData>
  <sortState ref="A1:A95">
    <sortCondition ref="A95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7"/>
  <sheetViews>
    <sheetView topLeftCell="A19" workbookViewId="0">
      <selection activeCell="B47" sqref="B47"/>
    </sheetView>
  </sheetViews>
  <sheetFormatPr defaultColWidth="8.875" defaultRowHeight="15.75" x14ac:dyDescent="0.25"/>
  <cols>
    <col min="1" max="1" width="14.125" bestFit="1" customWidth="1"/>
    <col min="4" max="4" width="10.5" bestFit="1" customWidth="1"/>
  </cols>
  <sheetData>
    <row r="1" spans="1:4" x14ac:dyDescent="0.25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25">
      <c r="A2" t="s">
        <v>4</v>
      </c>
      <c r="B2">
        <f>colorfunction(Data!A38,[0]!Intro,FALSE)</f>
        <v>0</v>
      </c>
      <c r="C2">
        <f>8-B2</f>
        <v>8</v>
      </c>
      <c r="D2" s="4">
        <f>B2/8*100</f>
        <v>0</v>
      </c>
    </row>
    <row r="3" spans="1:4" x14ac:dyDescent="0.25">
      <c r="A3" t="s">
        <v>10</v>
      </c>
      <c r="B3">
        <f>colorfunction(Data!$A38,[0]!France,FALSE)</f>
        <v>0</v>
      </c>
      <c r="C3">
        <f t="shared" ref="C3:C26" si="0">28-B3</f>
        <v>28</v>
      </c>
      <c r="D3" s="4">
        <f t="shared" ref="D3:D26" si="1">B3/28*100</f>
        <v>0</v>
      </c>
    </row>
    <row r="4" spans="1:4" x14ac:dyDescent="0.25">
      <c r="A4" t="s">
        <v>22</v>
      </c>
      <c r="B4">
        <f>colorfunction(Data!$A38,[0]!Romania,FALSE)</f>
        <v>0</v>
      </c>
      <c r="C4">
        <f t="shared" si="0"/>
        <v>28</v>
      </c>
      <c r="D4" s="4">
        <f t="shared" si="1"/>
        <v>0</v>
      </c>
    </row>
    <row r="5" spans="1:4" x14ac:dyDescent="0.25">
      <c r="A5" t="s">
        <v>23</v>
      </c>
      <c r="B5">
        <f>colorfunction(Data!$A38,[0]!Albania,FALSE)</f>
        <v>0</v>
      </c>
      <c r="C5">
        <f t="shared" si="0"/>
        <v>28</v>
      </c>
      <c r="D5" s="4">
        <f t="shared" si="1"/>
        <v>0</v>
      </c>
    </row>
    <row r="6" spans="1:4" x14ac:dyDescent="0.25">
      <c r="A6" t="s">
        <v>9</v>
      </c>
      <c r="B6">
        <f>colorfunction(Data!$A38,[0]!Switzerland,FALSE)</f>
        <v>0</v>
      </c>
      <c r="C6">
        <f t="shared" si="0"/>
        <v>28</v>
      </c>
      <c r="D6" s="4">
        <f t="shared" si="1"/>
        <v>0</v>
      </c>
    </row>
    <row r="7" spans="1:4" x14ac:dyDescent="0.25">
      <c r="A7" t="s">
        <v>7</v>
      </c>
      <c r="B7">
        <f>colorfunction(Data!$A38,[0]!England,FALSE)</f>
        <v>0</v>
      </c>
      <c r="C7">
        <f t="shared" si="0"/>
        <v>28</v>
      </c>
      <c r="D7" s="4">
        <f t="shared" si="1"/>
        <v>0</v>
      </c>
    </row>
    <row r="8" spans="1:4" x14ac:dyDescent="0.25">
      <c r="A8" t="s">
        <v>14</v>
      </c>
      <c r="B8">
        <f>colorfunction(Data!$A38,[0]!Russia,FALSE)</f>
        <v>0</v>
      </c>
      <c r="C8">
        <f t="shared" si="0"/>
        <v>28</v>
      </c>
      <c r="D8" s="4">
        <f t="shared" si="1"/>
        <v>0</v>
      </c>
    </row>
    <row r="9" spans="1:4" x14ac:dyDescent="0.25">
      <c r="A9" t="s">
        <v>24</v>
      </c>
      <c r="B9">
        <f>colorfunction(Data!$A38,[0]!Wales,FALSE)</f>
        <v>0</v>
      </c>
      <c r="C9">
        <f t="shared" si="0"/>
        <v>28</v>
      </c>
      <c r="D9" s="4">
        <f t="shared" si="1"/>
        <v>0</v>
      </c>
    </row>
    <row r="10" spans="1:4" x14ac:dyDescent="0.25">
      <c r="A10" t="s">
        <v>25</v>
      </c>
      <c r="B10">
        <f>colorfunction(Data!$A38,[0]!Slovakia,FALSE)</f>
        <v>0</v>
      </c>
      <c r="C10">
        <f t="shared" si="0"/>
        <v>28</v>
      </c>
      <c r="D10" s="4">
        <f t="shared" si="1"/>
        <v>0</v>
      </c>
    </row>
    <row r="11" spans="1:4" x14ac:dyDescent="0.25">
      <c r="A11" t="s">
        <v>11</v>
      </c>
      <c r="B11">
        <f>colorfunction(Data!$A38,[0]!Germany,FALSE)</f>
        <v>1</v>
      </c>
      <c r="C11">
        <f t="shared" si="0"/>
        <v>27</v>
      </c>
      <c r="D11" s="4">
        <f t="shared" si="1"/>
        <v>3.5714285714285712</v>
      </c>
    </row>
    <row r="12" spans="1:4" x14ac:dyDescent="0.25">
      <c r="A12" t="s">
        <v>26</v>
      </c>
      <c r="B12">
        <f>colorfunction(Data!$A38,[0]!Ukraine,FALSE)</f>
        <v>0</v>
      </c>
      <c r="C12">
        <f t="shared" si="0"/>
        <v>28</v>
      </c>
      <c r="D12" s="4">
        <f t="shared" si="1"/>
        <v>0</v>
      </c>
    </row>
    <row r="13" spans="1:4" x14ac:dyDescent="0.25">
      <c r="A13" t="s">
        <v>27</v>
      </c>
      <c r="B13">
        <f>colorfunction(Data!$A38,[0]!Poland,FALSE)</f>
        <v>0</v>
      </c>
      <c r="C13">
        <f t="shared" si="0"/>
        <v>28</v>
      </c>
      <c r="D13" s="4">
        <f t="shared" si="1"/>
        <v>0</v>
      </c>
    </row>
    <row r="14" spans="1:4" x14ac:dyDescent="0.25">
      <c r="A14" t="s">
        <v>28</v>
      </c>
      <c r="B14">
        <f>colorfunction(Data!$A38,[0]!NIreland,FALSE)</f>
        <v>0</v>
      </c>
      <c r="C14">
        <f t="shared" si="0"/>
        <v>28</v>
      </c>
      <c r="D14" s="4">
        <f t="shared" si="1"/>
        <v>0</v>
      </c>
    </row>
    <row r="15" spans="1:4" x14ac:dyDescent="0.25">
      <c r="A15" t="s">
        <v>6</v>
      </c>
      <c r="B15">
        <f>colorfunction(Data!$A38,[0]!Spain,FALSE)</f>
        <v>0</v>
      </c>
      <c r="C15">
        <f t="shared" si="0"/>
        <v>28</v>
      </c>
      <c r="D15" s="4">
        <f t="shared" si="1"/>
        <v>0</v>
      </c>
    </row>
    <row r="16" spans="1:4" x14ac:dyDescent="0.25">
      <c r="A16" t="s">
        <v>29</v>
      </c>
      <c r="B16">
        <f>colorfunction(Data!$A38,[0]!CzechRepublic,FALSE)</f>
        <v>0</v>
      </c>
      <c r="C16">
        <f t="shared" si="0"/>
        <v>28</v>
      </c>
      <c r="D16" s="4">
        <f t="shared" si="1"/>
        <v>0</v>
      </c>
    </row>
    <row r="17" spans="1:4" x14ac:dyDescent="0.25">
      <c r="A17" t="s">
        <v>30</v>
      </c>
      <c r="B17">
        <f>colorfunction(Data!$A38,[0]!Turkey,FALSE)</f>
        <v>0</v>
      </c>
      <c r="C17">
        <f t="shared" si="0"/>
        <v>28</v>
      </c>
      <c r="D17" s="4">
        <f t="shared" si="1"/>
        <v>0</v>
      </c>
    </row>
    <row r="18" spans="1:4" x14ac:dyDescent="0.25">
      <c r="A18" t="s">
        <v>5</v>
      </c>
      <c r="B18">
        <f>colorfunction(Data!$A38,[0]!Croatia,FALSE)</f>
        <v>0</v>
      </c>
      <c r="C18">
        <f t="shared" si="0"/>
        <v>28</v>
      </c>
      <c r="D18" s="4">
        <f t="shared" si="1"/>
        <v>0</v>
      </c>
    </row>
    <row r="19" spans="1:4" x14ac:dyDescent="0.25">
      <c r="A19" t="s">
        <v>13</v>
      </c>
      <c r="B19">
        <f>colorfunction(Data!$A38,[0]!Belgium,FALSE)</f>
        <v>0</v>
      </c>
      <c r="C19">
        <f t="shared" si="0"/>
        <v>28</v>
      </c>
      <c r="D19" s="4">
        <f t="shared" si="1"/>
        <v>0</v>
      </c>
    </row>
    <row r="20" spans="1:4" x14ac:dyDescent="0.25">
      <c r="A20" t="s">
        <v>8</v>
      </c>
      <c r="B20">
        <f>colorfunction(Data!$A38,[0]!Italy,FALSE)</f>
        <v>0</v>
      </c>
      <c r="C20">
        <f t="shared" si="0"/>
        <v>28</v>
      </c>
      <c r="D20" s="4">
        <f t="shared" si="1"/>
        <v>0</v>
      </c>
    </row>
    <row r="21" spans="1:4" x14ac:dyDescent="0.25">
      <c r="A21" t="s">
        <v>31</v>
      </c>
      <c r="B21">
        <f>colorfunction(Data!$A38,[0]!RIreland,FALSE)</f>
        <v>0</v>
      </c>
      <c r="C21">
        <f t="shared" si="0"/>
        <v>28</v>
      </c>
      <c r="D21" s="4">
        <f t="shared" si="1"/>
        <v>0</v>
      </c>
    </row>
    <row r="22" spans="1:4" x14ac:dyDescent="0.25">
      <c r="A22" t="s">
        <v>32</v>
      </c>
      <c r="B22">
        <f>colorfunction(Data!$A38,[0]!Sweden,FALSE)</f>
        <v>0</v>
      </c>
      <c r="C22">
        <f t="shared" si="0"/>
        <v>28</v>
      </c>
      <c r="D22" s="4">
        <f t="shared" si="1"/>
        <v>0</v>
      </c>
    </row>
    <row r="23" spans="1:4" x14ac:dyDescent="0.25">
      <c r="A23" t="s">
        <v>12</v>
      </c>
      <c r="B23">
        <f>colorfunction(Data!$A38,[0]!Portugal,FALSE)</f>
        <v>0</v>
      </c>
      <c r="C23">
        <f t="shared" si="0"/>
        <v>28</v>
      </c>
      <c r="D23" s="4">
        <f t="shared" si="1"/>
        <v>0</v>
      </c>
    </row>
    <row r="24" spans="1:4" x14ac:dyDescent="0.25">
      <c r="A24" t="s">
        <v>33</v>
      </c>
      <c r="B24">
        <f>colorfunction(Data!$A38,[0]!Iceland,FALSE)</f>
        <v>0</v>
      </c>
      <c r="C24">
        <f t="shared" si="0"/>
        <v>28</v>
      </c>
      <c r="D24" s="4">
        <f t="shared" si="1"/>
        <v>0</v>
      </c>
    </row>
    <row r="25" spans="1:4" x14ac:dyDescent="0.25">
      <c r="A25" t="s">
        <v>34</v>
      </c>
      <c r="B25">
        <f>colorfunction(Data!$A38,[0]!Austria,FALSE)</f>
        <v>0</v>
      </c>
      <c r="C25">
        <f t="shared" si="0"/>
        <v>28</v>
      </c>
      <c r="D25" s="4">
        <f t="shared" si="1"/>
        <v>0</v>
      </c>
    </row>
    <row r="26" spans="1:4" x14ac:dyDescent="0.25">
      <c r="A26" t="s">
        <v>35</v>
      </c>
      <c r="B26">
        <f>colorfunction(Data!$A38,[0]!Hungary,FALSE)</f>
        <v>0</v>
      </c>
      <c r="C26">
        <f t="shared" si="0"/>
        <v>28</v>
      </c>
      <c r="D26" s="4">
        <f t="shared" si="1"/>
        <v>0</v>
      </c>
    </row>
    <row r="27" spans="1:4" x14ac:dyDescent="0.25">
      <c r="D27" s="4"/>
    </row>
    <row r="28" spans="1:4" x14ac:dyDescent="0.25">
      <c r="D28" s="4"/>
    </row>
    <row r="29" spans="1:4" x14ac:dyDescent="0.25">
      <c r="D29" s="4"/>
    </row>
    <row r="30" spans="1:4" x14ac:dyDescent="0.25">
      <c r="D30" s="4"/>
    </row>
    <row r="31" spans="1:4" x14ac:dyDescent="0.25">
      <c r="D31" s="4"/>
    </row>
    <row r="32" spans="1:4" x14ac:dyDescent="0.25">
      <c r="D32" s="4"/>
    </row>
    <row r="33" spans="1:4" x14ac:dyDescent="0.25">
      <c r="D33" s="4"/>
    </row>
    <row r="34" spans="1:4" x14ac:dyDescent="0.25">
      <c r="D34" s="4"/>
    </row>
    <row r="35" spans="1:4" x14ac:dyDescent="0.25">
      <c r="D35" s="4"/>
    </row>
    <row r="38" spans="1:4" x14ac:dyDescent="0.25">
      <c r="A38" t="s">
        <v>15</v>
      </c>
      <c r="B38">
        <f>SUM(B3:B6)</f>
        <v>0</v>
      </c>
      <c r="C38">
        <f>SUM(C3:C6)</f>
        <v>112</v>
      </c>
      <c r="D38" s="4">
        <f t="shared" ref="D38:D43" si="2">B38/112*100</f>
        <v>0</v>
      </c>
    </row>
    <row r="39" spans="1:4" x14ac:dyDescent="0.25">
      <c r="A39" t="s">
        <v>16</v>
      </c>
      <c r="B39">
        <f>SUM(B7:B10)</f>
        <v>0</v>
      </c>
      <c r="C39">
        <f>SUM(C7:C10)</f>
        <v>112</v>
      </c>
      <c r="D39" s="4">
        <f t="shared" si="2"/>
        <v>0</v>
      </c>
    </row>
    <row r="40" spans="1:4" x14ac:dyDescent="0.25">
      <c r="A40" t="s">
        <v>17</v>
      </c>
      <c r="B40">
        <f>SUM(B11:B14)</f>
        <v>1</v>
      </c>
      <c r="C40">
        <f>SUM(C11:C14)</f>
        <v>111</v>
      </c>
      <c r="D40" s="4">
        <f t="shared" si="2"/>
        <v>0.89285714285714279</v>
      </c>
    </row>
    <row r="41" spans="1:4" x14ac:dyDescent="0.25">
      <c r="A41" t="s">
        <v>18</v>
      </c>
      <c r="B41">
        <f>SUM(B15:B18)</f>
        <v>0</v>
      </c>
      <c r="C41">
        <f>SUM(C15:C18)</f>
        <v>112</v>
      </c>
      <c r="D41" s="4">
        <f t="shared" si="2"/>
        <v>0</v>
      </c>
    </row>
    <row r="42" spans="1:4" x14ac:dyDescent="0.25">
      <c r="A42" t="s">
        <v>19</v>
      </c>
      <c r="B42">
        <f>SUM(B19:B22)</f>
        <v>0</v>
      </c>
      <c r="C42">
        <f>SUM(C19:C22)</f>
        <v>112</v>
      </c>
      <c r="D42" s="4">
        <f t="shared" si="2"/>
        <v>0</v>
      </c>
    </row>
    <row r="43" spans="1:4" x14ac:dyDescent="0.25">
      <c r="A43" t="s">
        <v>20</v>
      </c>
      <c r="B43">
        <f>SUM(B23:B26)</f>
        <v>0</v>
      </c>
      <c r="C43">
        <f>SUM(C23:C26)</f>
        <v>112</v>
      </c>
      <c r="D43" s="4">
        <f t="shared" si="2"/>
        <v>0</v>
      </c>
    </row>
    <row r="44" spans="1:4" x14ac:dyDescent="0.25">
      <c r="D44" s="4"/>
    </row>
    <row r="45" spans="1:4" x14ac:dyDescent="0.25">
      <c r="D45" s="4"/>
    </row>
    <row r="47" spans="1:4" x14ac:dyDescent="0.25">
      <c r="A47" t="s">
        <v>21</v>
      </c>
      <c r="B47">
        <f>SUM(B2:B26)</f>
        <v>1</v>
      </c>
      <c r="C47">
        <f>SUM(C2:C26)</f>
        <v>679</v>
      </c>
      <c r="D47" s="4">
        <f>B47/680*100</f>
        <v>0.14705882352941177</v>
      </c>
    </row>
  </sheetData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Data</vt:lpstr>
      <vt:lpstr>Swaps</vt:lpstr>
      <vt:lpstr>Analysis</vt:lpstr>
      <vt:lpstr>Albania</vt:lpstr>
      <vt:lpstr>Austria</vt:lpstr>
      <vt:lpstr>Belgium</vt:lpstr>
      <vt:lpstr>Croatia</vt:lpstr>
      <vt:lpstr>CzechRepublic</vt:lpstr>
      <vt:lpstr>England</vt:lpstr>
      <vt:lpstr>France</vt:lpstr>
      <vt:lpstr>Germany</vt:lpstr>
      <vt:lpstr>Hungary</vt:lpstr>
      <vt:lpstr>Iceland</vt:lpstr>
      <vt:lpstr>Intro</vt:lpstr>
      <vt:lpstr>Italy</vt:lpstr>
      <vt:lpstr>NIreland</vt:lpstr>
      <vt:lpstr>Poland</vt:lpstr>
      <vt:lpstr>Portugal</vt:lpstr>
      <vt:lpstr>RIreland</vt:lpstr>
      <vt:lpstr>Romania</vt:lpstr>
      <vt:lpstr>Russia</vt:lpstr>
      <vt:lpstr>Slovakia</vt:lpstr>
      <vt:lpstr>Spain</vt:lpstr>
      <vt:lpstr>Sweden</vt:lpstr>
      <vt:lpstr>Switzerland</vt:lpstr>
      <vt:lpstr>Turkey</vt:lpstr>
      <vt:lpstr>Ukraine</vt:lpstr>
      <vt:lpstr>Wales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Medd</dc:creator>
  <cp:lastModifiedBy>Jonathan</cp:lastModifiedBy>
  <cp:lastPrinted>2016-06-08T19:17:32Z</cp:lastPrinted>
  <dcterms:created xsi:type="dcterms:W3CDTF">2014-04-15T18:07:58Z</dcterms:created>
  <dcterms:modified xsi:type="dcterms:W3CDTF">2016-06-10T09:33:30Z</dcterms:modified>
</cp:coreProperties>
</file>